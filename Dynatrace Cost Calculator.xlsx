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Cost Calculator" sheetId="1" r:id="rId1"/>
    <sheet name="Reference Guid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<sst xmlns="http://schemas.openxmlformats.org/spreadsheetml/2006/main" count="123" uniqueCount="95">
  <si>
    <t>Dynatrace Infrastructure Monitoring - Cost Calculator</t>
  </si>
  <si>
    <t>INPUT PARAMETERS</t>
  </si>
  <si>
    <t>Input</t>
  </si>
  <si>
    <t>Number of Hosts:</t>
  </si>
  <si>
    <t>Output</t>
  </si>
  <si>
    <t>Price per Host-Hour (USD):</t>
  </si>
  <si>
    <t>Hours per Day:</t>
  </si>
  <si>
    <t>Days per Month:</t>
  </si>
  <si>
    <t>CALCULATED VALUES   (Before discount)</t>
  </si>
  <si>
    <t xml:space="preserve">CALCULATED VALUES(After discount)
 </t>
  </si>
  <si>
    <t>Discount</t>
  </si>
  <si>
    <t>Time period</t>
  </si>
  <si>
    <t>Calculation</t>
  </si>
  <si>
    <t>Total cost</t>
  </si>
  <si>
    <t>Savings</t>
  </si>
  <si>
    <t>Total Cost After discount</t>
  </si>
  <si>
    <t>Hourly Cost (all hosts):</t>
  </si>
  <si>
    <t>Hosts × $0.04</t>
  </si>
  <si>
    <t>Daily Cost:</t>
  </si>
  <si>
    <t>Hourly Cost × 24</t>
  </si>
  <si>
    <t>Weekly:</t>
  </si>
  <si>
    <t xml:space="preserve">Daily Cost *7 </t>
  </si>
  <si>
    <t>Monthly Cost:</t>
  </si>
  <si>
    <t>Hourly Cost × 720 (24×30)</t>
  </si>
  <si>
    <t>Quarterly Cost:</t>
  </si>
  <si>
    <t>Monthly Cost × 3</t>
  </si>
  <si>
    <t>Annual Cost:</t>
  </si>
  <si>
    <t>Monthly Cost × 12</t>
  </si>
  <si>
    <t>Cost per Host/Month</t>
  </si>
  <si>
    <t>Monthly Cost ÷ Hosts</t>
  </si>
  <si>
    <t>NOTES:</t>
  </si>
  <si>
    <t>1. Modify 'Number of Hosts' (cell B4) to recalculate all costs automatically</t>
  </si>
  <si>
    <t>2. Price per Host-Hour is locked at $0.04 for Infrastructure Monitoring</t>
  </si>
  <si>
    <t>3. All formulas reference cell B4 for dynamic calculations</t>
  </si>
  <si>
    <t>4. See 'Discount Calculator' sheet for volume discount calculations</t>
  </si>
  <si>
    <t>Dynatrace Infrastructure Monitoring - Reference Guide</t>
  </si>
  <si>
    <t>PRICING MODEL</t>
  </si>
  <si>
    <t>Rate per Host-Hour:</t>
  </si>
  <si>
    <t>$0.04</t>
  </si>
  <si>
    <t>Applicable to:</t>
  </si>
  <si>
    <t>Infrastructure Monitoring Tier</t>
  </si>
  <si>
    <t>Coverage:</t>
  </si>
  <si>
    <t>Any size host - flat rate regardless of RAM</t>
  </si>
  <si>
    <t>KEY METRICS</t>
  </si>
  <si>
    <t>Metric</t>
  </si>
  <si>
    <t>Formula</t>
  </si>
  <si>
    <t>Example (2800 hosts)</t>
  </si>
  <si>
    <t>Hourly Cost</t>
  </si>
  <si>
    <t>$112.00</t>
  </si>
  <si>
    <t>Daily Cost</t>
  </si>
  <si>
    <t>$2,688.00</t>
  </si>
  <si>
    <t>Monthly Cost</t>
  </si>
  <si>
    <t>$80,640.00</t>
  </si>
  <si>
    <t>Quarterly Cost</t>
  </si>
  <si>
    <t>$241,920.00</t>
  </si>
  <si>
    <t>Annual Cost</t>
  </si>
  <si>
    <t>$967,680.00</t>
  </si>
  <si>
    <t>$28.80</t>
  </si>
  <si>
    <t>INFRASTRUCTURE MONITORING INCLUDES</t>
  </si>
  <si>
    <t>Feature</t>
  </si>
  <si>
    <t>Included</t>
  </si>
  <si>
    <t>Process monitoring</t>
  </si>
  <si>
    <t>Yes</t>
  </si>
  <si>
    <t>Disk and memory analysis</t>
  </si>
  <si>
    <t>Network metrics</t>
  </si>
  <si>
    <t>Host health and performance</t>
  </si>
  <si>
    <t>Filesystem monitoring</t>
  </si>
  <si>
    <t>OS services monitoring</t>
  </si>
  <si>
    <t>Log correlation</t>
  </si>
  <si>
    <t>Custom metrics</t>
  </si>
  <si>
    <t>AIOps with Davis AI</t>
  </si>
  <si>
    <t>DOES NOT INCLUDE</t>
  </si>
  <si>
    <t>Application Performance Monitoring (APM)</t>
  </si>
  <si>
    <t>No</t>
  </si>
  <si>
    <t>Code-level profiling</t>
  </si>
  <si>
    <t>Transaction tracing</t>
  </si>
  <si>
    <t>Deep diagnostics</t>
  </si>
  <si>
    <t>HOW TO USE THIS CALCULATOR</t>
  </si>
  <si>
    <t>Sheet 1 - Cost Calculator:</t>
  </si>
  <si>
    <t xml:space="preserve">  Enter your host count in cell B4</t>
  </si>
  <si>
    <t xml:space="preserve">  All costs recalculate automatically</t>
  </si>
  <si>
    <t xml:space="preserve">  Based on $0.04 per host-hour rate</t>
  </si>
  <si>
    <t>VOLUME DISCOUNT GUIDANCE</t>
  </si>
  <si>
    <t>Discount Level</t>
  </si>
  <si>
    <t>Recommendation</t>
  </si>
  <si>
    <t>5% discount</t>
  </si>
  <si>
    <t>Mid-size commitments</t>
  </si>
  <si>
    <t>10% discount</t>
  </si>
  <si>
    <t>Large-scale deployments (1000-2000 hosts)</t>
  </si>
  <si>
    <t>15% discount</t>
  </si>
  <si>
    <t>Enterprise commitments (2000+ hosts)</t>
  </si>
  <si>
    <t>20% discount</t>
  </si>
  <si>
    <t>2-3 year commitments</t>
  </si>
  <si>
    <t>25% discount</t>
  </si>
  <si>
    <t>Multi-year enterprise agreements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</si>
</sst>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409]#,##0.00;\-[$$-409]#,##0.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6" applyNumberFormat="0" applyAlignment="0" applyProtection="0">
      <alignment vertical="center"/>
    </xf>
    <xf numFmtId="0" fontId="13" fillId="10" borderId="17" applyNumberFormat="0" applyAlignment="0" applyProtection="0">
      <alignment vertical="center"/>
    </xf>
    <xf numFmtId="0" fontId="14" fillId="10" borderId="16" applyNumberFormat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40">
    <xf numFmtId="0" fontId="0" fillId="0" borderId="0" xfId="0"/>
    <xf numFmtId="180" fontId="0" fillId="0" borderId="0" xfId="0" applyNumberFormat="1"/>
    <xf numFmtId="0" fontId="1" fillId="2" borderId="1" xfId="0" applyFont="1" applyFill="1" applyBorder="1"/>
    <xf numFmtId="0" fontId="0" fillId="2" borderId="2" xfId="0" applyFill="1" applyBorder="1"/>
    <xf numFmtId="180" fontId="0" fillId="2" borderId="3" xfId="0" applyNumberFormat="1" applyFill="1" applyBorder="1"/>
    <xf numFmtId="0" fontId="1" fillId="0" borderId="4" xfId="0" applyFont="1" applyBorder="1"/>
    <xf numFmtId="0" fontId="0" fillId="0" borderId="4" xfId="0" applyBorder="1"/>
    <xf numFmtId="180" fontId="0" fillId="0" borderId="4" xfId="0" applyNumberFormat="1" applyBorder="1"/>
    <xf numFmtId="0" fontId="0" fillId="3" borderId="0" xfId="0" applyFill="1"/>
    <xf numFmtId="0" fontId="0" fillId="0" borderId="5" xfId="0" applyBorder="1"/>
    <xf numFmtId="0" fontId="0" fillId="3" borderId="5" xfId="0" applyFill="1" applyBorder="1"/>
    <xf numFmtId="180" fontId="0" fillId="0" borderId="5" xfId="0" applyNumberFormat="1" applyBorder="1"/>
    <xf numFmtId="0" fontId="0" fillId="4" borderId="0" xfId="0" applyFill="1"/>
    <xf numFmtId="4" fontId="0" fillId="3" borderId="5" xfId="0" applyNumberFormat="1" applyFill="1" applyBorder="1"/>
    <xf numFmtId="0" fontId="0" fillId="0" borderId="6" xfId="0" applyBorder="1"/>
    <xf numFmtId="0" fontId="0" fillId="3" borderId="6" xfId="0" applyFill="1" applyBorder="1"/>
    <xf numFmtId="180" fontId="0" fillId="0" borderId="6" xfId="0" applyNumberFormat="1" applyBorder="1"/>
    <xf numFmtId="0" fontId="0" fillId="0" borderId="7" xfId="0" applyBorder="1"/>
    <xf numFmtId="180" fontId="0" fillId="0" borderId="7" xfId="0" applyNumberFormat="1" applyBorder="1"/>
    <xf numFmtId="0" fontId="1" fillId="2" borderId="8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0" fillId="0" borderId="0" xfId="0" applyBorder="1"/>
    <xf numFmtId="0" fontId="2" fillId="5" borderId="4" xfId="0" applyFont="1" applyFill="1" applyBorder="1"/>
    <xf numFmtId="9" fontId="2" fillId="3" borderId="4" xfId="0" applyNumberFormat="1" applyFont="1" applyFill="1" applyBorder="1"/>
    <xf numFmtId="0" fontId="1" fillId="6" borderId="5" xfId="0" applyFont="1" applyFill="1" applyBorder="1"/>
    <xf numFmtId="180" fontId="1" fillId="6" borderId="5" xfId="0" applyNumberFormat="1" applyFont="1" applyFill="1" applyBorder="1"/>
    <xf numFmtId="180" fontId="0" fillId="4" borderId="5" xfId="0" applyNumberFormat="1" applyFill="1" applyBorder="1"/>
    <xf numFmtId="0" fontId="1" fillId="0" borderId="5" xfId="0" applyFont="1" applyBorder="1"/>
    <xf numFmtId="180" fontId="1" fillId="4" borderId="5" xfId="0" applyNumberFormat="1" applyFont="1" applyFill="1" applyBorder="1"/>
    <xf numFmtId="180" fontId="0" fillId="0" borderId="0" xfId="0" applyNumberFormat="1" applyBorder="1"/>
    <xf numFmtId="0" fontId="1" fillId="7" borderId="8" xfId="0" applyFont="1" applyFill="1" applyBorder="1"/>
    <xf numFmtId="0" fontId="0" fillId="7" borderId="2" xfId="0" applyFill="1" applyBorder="1"/>
    <xf numFmtId="180" fontId="0" fillId="7" borderId="2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80" fontId="0" fillId="0" borderId="12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25" sqref="F25"/>
    </sheetView>
  </sheetViews>
  <sheetFormatPr defaultColWidth="9" defaultRowHeight="14.4" outlineLevelCol="7"/>
  <cols>
    <col min="1" max="1" width="32.2222222222222" customWidth="1"/>
    <col min="2" max="2" width="26.1111111111111" customWidth="1"/>
    <col min="3" max="3" width="12.6666666666667" style="1"/>
    <col min="4" max="4" width="8.44444444444444" customWidth="1"/>
    <col min="5" max="5" width="19" customWidth="1"/>
    <col min="6" max="6" width="17.8888888888889"/>
    <col min="7" max="7" width="22.1111111111111" customWidth="1"/>
  </cols>
  <sheetData>
    <row r="1" ht="15.15"/>
    <row r="2" ht="15.15" spans="1:3">
      <c r="A2" s="2" t="s">
        <v>0</v>
      </c>
      <c r="B2" s="3"/>
      <c r="C2" s="4"/>
    </row>
    <row r="3" spans="1:5">
      <c r="A3" s="5" t="s">
        <v>1</v>
      </c>
      <c r="B3" s="6"/>
      <c r="C3" s="7"/>
      <c r="E3" s="8" t="s">
        <v>2</v>
      </c>
    </row>
    <row r="4" spans="1:5">
      <c r="A4" s="9" t="s">
        <v>3</v>
      </c>
      <c r="B4" s="10">
        <v>2800</v>
      </c>
      <c r="C4" s="11"/>
      <c r="E4" s="12" t="s">
        <v>4</v>
      </c>
    </row>
    <row r="5" spans="1:3">
      <c r="A5" s="9" t="s">
        <v>5</v>
      </c>
      <c r="B5" s="13">
        <v>0.04</v>
      </c>
      <c r="C5" s="11"/>
    </row>
    <row r="6" spans="1:3">
      <c r="A6" s="9" t="s">
        <v>6</v>
      </c>
      <c r="B6" s="10">
        <v>24</v>
      </c>
      <c r="C6" s="11"/>
    </row>
    <row r="7" spans="1:3">
      <c r="A7" s="14" t="s">
        <v>7</v>
      </c>
      <c r="B7" s="15">
        <v>30</v>
      </c>
      <c r="C7" s="16"/>
    </row>
    <row r="8" ht="15.15" spans="1:3">
      <c r="A8" s="17"/>
      <c r="B8" s="17"/>
      <c r="C8" s="18"/>
    </row>
    <row r="9" ht="15.15" spans="1:8">
      <c r="A9" s="19" t="s">
        <v>8</v>
      </c>
      <c r="B9" s="3"/>
      <c r="C9" s="4"/>
      <c r="E9" s="20" t="s">
        <v>9</v>
      </c>
      <c r="F9" s="21"/>
      <c r="G9" s="22"/>
      <c r="H9" s="23"/>
    </row>
    <row r="10" spans="1:7">
      <c r="A10" s="6"/>
      <c r="B10" s="6"/>
      <c r="C10" s="7"/>
      <c r="E10" s="24" t="s">
        <v>10</v>
      </c>
      <c r="F10" s="25">
        <v>0.15</v>
      </c>
      <c r="G10" s="6"/>
    </row>
    <row r="11" spans="1:7">
      <c r="A11" s="26" t="s">
        <v>11</v>
      </c>
      <c r="B11" s="26" t="s">
        <v>12</v>
      </c>
      <c r="C11" s="27" t="s">
        <v>13</v>
      </c>
      <c r="E11" s="26" t="s">
        <v>11</v>
      </c>
      <c r="F11" s="26" t="s">
        <v>14</v>
      </c>
      <c r="G11" s="26" t="s">
        <v>15</v>
      </c>
    </row>
    <row r="12" spans="1:7">
      <c r="A12" s="9" t="s">
        <v>16</v>
      </c>
      <c r="B12" s="9" t="s">
        <v>17</v>
      </c>
      <c r="C12" s="28">
        <f>B5*B4</f>
        <v>112</v>
      </c>
      <c r="E12" s="29" t="s">
        <v>16</v>
      </c>
      <c r="F12" s="11">
        <f>F10*C12</f>
        <v>16.8</v>
      </c>
      <c r="G12" s="28">
        <f>C12-F12</f>
        <v>95.2</v>
      </c>
    </row>
    <row r="13" spans="1:7">
      <c r="A13" s="9" t="s">
        <v>18</v>
      </c>
      <c r="B13" s="9" t="s">
        <v>19</v>
      </c>
      <c r="C13" s="28">
        <f>B6*C12</f>
        <v>2688</v>
      </c>
      <c r="E13" s="29" t="s">
        <v>18</v>
      </c>
      <c r="F13" s="11">
        <f>F10*C13</f>
        <v>403.2</v>
      </c>
      <c r="G13" s="28">
        <f t="shared" ref="G13:G18" si="0">C13-F13</f>
        <v>2284.8</v>
      </c>
    </row>
    <row r="14" spans="1:7">
      <c r="A14" s="9" t="s">
        <v>20</v>
      </c>
      <c r="B14" s="9" t="s">
        <v>21</v>
      </c>
      <c r="C14" s="28">
        <f>C13*7</f>
        <v>18816</v>
      </c>
      <c r="E14" s="29" t="s">
        <v>20</v>
      </c>
      <c r="F14" s="11">
        <f>F10*C14</f>
        <v>2822.4</v>
      </c>
      <c r="G14" s="28">
        <f t="shared" si="0"/>
        <v>15993.6</v>
      </c>
    </row>
    <row r="15" spans="1:7">
      <c r="A15" s="9" t="s">
        <v>22</v>
      </c>
      <c r="B15" s="9" t="s">
        <v>23</v>
      </c>
      <c r="C15" s="28">
        <f>C13*B7</f>
        <v>80640</v>
      </c>
      <c r="E15" s="29" t="s">
        <v>22</v>
      </c>
      <c r="F15" s="11">
        <f>F10*C15</f>
        <v>12096</v>
      </c>
      <c r="G15" s="28">
        <f t="shared" si="0"/>
        <v>68544</v>
      </c>
    </row>
    <row r="16" spans="1:7">
      <c r="A16" s="9" t="s">
        <v>24</v>
      </c>
      <c r="B16" s="9" t="s">
        <v>25</v>
      </c>
      <c r="C16" s="28">
        <f>C15*3</f>
        <v>241920</v>
      </c>
      <c r="E16" s="29" t="s">
        <v>24</v>
      </c>
      <c r="F16" s="11">
        <f>F10*C16</f>
        <v>36288</v>
      </c>
      <c r="G16" s="28">
        <f t="shared" si="0"/>
        <v>205632</v>
      </c>
    </row>
    <row r="17" spans="1:7">
      <c r="A17" s="9" t="s">
        <v>26</v>
      </c>
      <c r="B17" s="9" t="s">
        <v>27</v>
      </c>
      <c r="C17" s="30">
        <f>C16*4</f>
        <v>967680</v>
      </c>
      <c r="E17" s="29" t="s">
        <v>26</v>
      </c>
      <c r="F17" s="11">
        <f>F10*C17</f>
        <v>145152</v>
      </c>
      <c r="G17" s="30">
        <f t="shared" si="0"/>
        <v>822528</v>
      </c>
    </row>
    <row r="18" spans="1:7">
      <c r="A18" s="9" t="s">
        <v>28</v>
      </c>
      <c r="B18" s="9" t="s">
        <v>29</v>
      </c>
      <c r="C18" s="28">
        <f>C15/B4</f>
        <v>28.8</v>
      </c>
      <c r="E18" s="29" t="s">
        <v>28</v>
      </c>
      <c r="F18" s="11">
        <f>F10*C18</f>
        <v>4.32</v>
      </c>
      <c r="G18" s="28">
        <f t="shared" si="0"/>
        <v>24.48</v>
      </c>
    </row>
    <row r="19" ht="15.15" spans="1:3">
      <c r="A19" s="23"/>
      <c r="B19" s="23"/>
      <c r="C19" s="31"/>
    </row>
    <row r="20" ht="15.15" spans="1:3">
      <c r="A20" s="32" t="s">
        <v>30</v>
      </c>
      <c r="B20" s="33"/>
      <c r="C20" s="34"/>
    </row>
    <row r="21" spans="1:3">
      <c r="A21" s="35" t="s">
        <v>31</v>
      </c>
      <c r="B21" s="6"/>
      <c r="C21" s="7"/>
    </row>
    <row r="22" spans="1:3">
      <c r="A22" s="36" t="s">
        <v>32</v>
      </c>
      <c r="B22" s="9"/>
      <c r="C22" s="11"/>
    </row>
    <row r="23" spans="1:3">
      <c r="A23" s="36" t="s">
        <v>33</v>
      </c>
      <c r="B23" s="9"/>
      <c r="C23" s="11"/>
    </row>
    <row r="24" ht="15.15" spans="1:3">
      <c r="A24" s="37" t="s">
        <v>34</v>
      </c>
      <c r="B24" s="38"/>
      <c r="C24" s="3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workbookViewId="0">
      <selection activeCell="A49" sqref="A49"/>
    </sheetView>
  </sheetViews>
  <sheetFormatPr defaultColWidth="9" defaultRowHeight="14.4" outlineLevelCol="2"/>
  <cols>
    <col min="1" max="1" width="50.712962962963" customWidth="1"/>
    <col min="2" max="2" width="45.712962962963" customWidth="1"/>
    <col min="3" max="3" width="22.712962962963" customWidth="1"/>
  </cols>
  <sheetData>
    <row r="1" spans="1:1">
      <c r="A1" t="s">
        <v>35</v>
      </c>
    </row>
    <row r="3" spans="1:1">
      <c r="A3" t="s">
        <v>36</v>
      </c>
    </row>
    <row r="4" spans="1:2">
      <c r="A4" t="s">
        <v>37</v>
      </c>
      <c r="B4" t="s">
        <v>38</v>
      </c>
    </row>
    <row r="5" spans="1:2">
      <c r="A5" t="s">
        <v>39</v>
      </c>
      <c r="B5" t="s">
        <v>40</v>
      </c>
    </row>
    <row r="6" spans="1:2">
      <c r="A6" t="s">
        <v>41</v>
      </c>
      <c r="B6" t="s">
        <v>42</v>
      </c>
    </row>
    <row r="8" spans="1:1">
      <c r="A8" t="s">
        <v>43</v>
      </c>
    </row>
    <row r="9" spans="1:3">
      <c r="A9" t="s">
        <v>44</v>
      </c>
      <c r="B9" t="s">
        <v>45</v>
      </c>
      <c r="C9" t="s">
        <v>46</v>
      </c>
    </row>
    <row r="10" spans="1:3">
      <c r="A10" t="s">
        <v>47</v>
      </c>
      <c r="B10" t="s">
        <v>17</v>
      </c>
      <c r="C10" t="s">
        <v>48</v>
      </c>
    </row>
    <row r="11" spans="1:3">
      <c r="A11" t="s">
        <v>49</v>
      </c>
      <c r="B11" t="s">
        <v>19</v>
      </c>
      <c r="C11" t="s">
        <v>50</v>
      </c>
    </row>
    <row r="12" spans="1:3">
      <c r="A12" t="s">
        <v>51</v>
      </c>
      <c r="B12" t="s">
        <v>23</v>
      </c>
      <c r="C12" t="s">
        <v>52</v>
      </c>
    </row>
    <row r="13" spans="1:3">
      <c r="A13" t="s">
        <v>53</v>
      </c>
      <c r="B13" t="s">
        <v>25</v>
      </c>
      <c r="C13" t="s">
        <v>54</v>
      </c>
    </row>
    <row r="14" spans="1:3">
      <c r="A14" t="s">
        <v>55</v>
      </c>
      <c r="B14" t="s">
        <v>27</v>
      </c>
      <c r="C14" t="s">
        <v>56</v>
      </c>
    </row>
    <row r="15" spans="1:3">
      <c r="A15" t="s">
        <v>28</v>
      </c>
      <c r="B15" t="s">
        <v>29</v>
      </c>
      <c r="C15" t="s">
        <v>57</v>
      </c>
    </row>
    <row r="17" spans="1:1">
      <c r="A17" t="s">
        <v>58</v>
      </c>
    </row>
    <row r="18" spans="1:2">
      <c r="A18" t="s">
        <v>59</v>
      </c>
      <c r="B18" t="s">
        <v>60</v>
      </c>
    </row>
    <row r="19" spans="1:2">
      <c r="A19" t="s">
        <v>61</v>
      </c>
      <c r="B19" t="s">
        <v>62</v>
      </c>
    </row>
    <row r="20" spans="1:2">
      <c r="A20" t="s">
        <v>63</v>
      </c>
      <c r="B20" t="s">
        <v>62</v>
      </c>
    </row>
    <row r="21" spans="1:2">
      <c r="A21" t="s">
        <v>64</v>
      </c>
      <c r="B21" t="s">
        <v>62</v>
      </c>
    </row>
    <row r="22" spans="1:2">
      <c r="A22" t="s">
        <v>65</v>
      </c>
      <c r="B22" t="s">
        <v>62</v>
      </c>
    </row>
    <row r="23" spans="1:2">
      <c r="A23" t="s">
        <v>66</v>
      </c>
      <c r="B23" t="s">
        <v>62</v>
      </c>
    </row>
    <row r="24" spans="1:2">
      <c r="A24" t="s">
        <v>67</v>
      </c>
      <c r="B24" t="s">
        <v>62</v>
      </c>
    </row>
    <row r="25" spans="1:2">
      <c r="A25" t="s">
        <v>68</v>
      </c>
      <c r="B25" t="s">
        <v>62</v>
      </c>
    </row>
    <row r="26" spans="1:2">
      <c r="A26" t="s">
        <v>69</v>
      </c>
      <c r="B26" t="s">
        <v>62</v>
      </c>
    </row>
    <row r="27" spans="1:2">
      <c r="A27" t="s">
        <v>70</v>
      </c>
      <c r="B27" t="s">
        <v>62</v>
      </c>
    </row>
    <row r="29" spans="1:1">
      <c r="A29" t="s">
        <v>71</v>
      </c>
    </row>
    <row r="30" spans="1:2">
      <c r="A30" t="s">
        <v>59</v>
      </c>
      <c r="B30" t="s">
        <v>60</v>
      </c>
    </row>
    <row r="31" spans="1:2">
      <c r="A31" t="s">
        <v>72</v>
      </c>
      <c r="B31" t="s">
        <v>73</v>
      </c>
    </row>
    <row r="32" spans="1:2">
      <c r="A32" t="s">
        <v>74</v>
      </c>
      <c r="B32" t="s">
        <v>73</v>
      </c>
    </row>
    <row r="33" spans="1:2">
      <c r="A33" t="s">
        <v>75</v>
      </c>
      <c r="B33" t="s">
        <v>73</v>
      </c>
    </row>
    <row r="34" spans="1:2">
      <c r="A34" t="s">
        <v>76</v>
      </c>
      <c r="B34" t="s">
        <v>73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2" spans="1:1">
      <c r="A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 Calculator</vt:lpstr>
      <vt:lpstr>Reference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Grasp To Master</cp:lastModifiedBy>
  <dcterms:created xsi:type="dcterms:W3CDTF">2025-12-11T10:15:00Z</dcterms:created>
  <dcterms:modified xsi:type="dcterms:W3CDTF">2025-12-11T11:26:35Z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E3D9ACF659844D7CA86BC73338BCEB80_12</vt:lpwstr>
  </property>
  <property fmtid="{D5CDD505-2E9C-101B-9397-08002B2CF9AE}" pid="3" name="KSOProductBuildVer">
    <vt:lpwstr>2057-12.2.0.23149</vt:lpwstr>
  </property>
</Properties>
</file>